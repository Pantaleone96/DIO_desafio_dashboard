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aci\OneDrive\Documentos\Business\"/>
    </mc:Choice>
  </mc:AlternateContent>
  <xr:revisionPtr revIDLastSave="0" documentId="8_{0172146E-57F0-4BC7-AC9A-DC80582B809A}" xr6:coauthVersionLast="47" xr6:coauthVersionMax="47" xr10:uidLastSave="{00000000-0000-0000-0000-000000000000}"/>
  <bookViews>
    <workbookView xWindow="28680" yWindow="-120" windowWidth="29040" windowHeight="15720" tabRatio="384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3" l="1"/>
  <c r="E46" i="3"/>
  <c r="E45" i="3"/>
  <c r="E48" i="3"/>
  <c r="E36" i="3"/>
  <c r="E25" i="3"/>
</calcChain>
</file>

<file path=xl/sharedStrings.xml><?xml version="1.0" encoding="utf-8"?>
<sst xmlns="http://schemas.openxmlformats.org/spreadsheetml/2006/main" count="2031" uniqueCount="326">
  <si>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</si>
  <si>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</si>
  <si>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</si>
  <si>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</si>
  <si>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</si>
  <si>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</si>
  <si>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</si>
  <si>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</si>
  <si>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</si>
  <si>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</si>
  <si>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</si>
  <si>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</si>
  <si>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</si>
  <si>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</si>
  <si>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</si>
  <si>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</si>
  <si>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</si>
  <si>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</si>
  <si>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</si>
  <si>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</si>
  <si>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</si>
  <si>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</si>
  <si>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</si>
  <si>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</si>
  <si>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</si>
  <si>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</si>
  <si>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</si>
  <si>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</si>
  <si>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</si>
  <si>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</si>
  <si>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</si>
  <si>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</si>
  <si>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</si>
  <si>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</si>
  <si>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</si>
  <si>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</si>
  <si>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</si>
  <si>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</si>
  <si>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</si>
  <si>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</si>
  <si>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</si>
  <si>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</si>
  <si>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</si>
  <si>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</si>
  <si>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</si>
  <si>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</si>
  <si>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</si>
  <si>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</si>
  <si>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</si>
  <si>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</si>
  <si>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</si>
  <si>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</si>
  <si>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</si>
  <si>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</si>
  <si>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</si>
  <si>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</si>
  <si>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</si>
  <si>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</si>
  <si>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</si>
  <si>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</si>
  <si>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</si>
  <si>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</si>
  <si>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</si>
  <si>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</si>
  <si>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</si>
  <si>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</si>
  <si>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</si>
  <si>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</si>
  <si>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</si>
  <si>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</si>
  <si>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</si>
  <si>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</si>
  <si>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</si>
  <si>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</si>
  <si>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</si>
  <si>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</si>
  <si>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</si>
  <si>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</si>
  <si>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</si>
  <si>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</si>
  <si>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</si>
  <si>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</si>
  <si>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</si>
  <si>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</si>
  <si>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</si>
  <si>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</si>
  <si>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</si>
  <si>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</si>
  <si>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</si>
  <si>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</si>
  <si>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</si>
  <si>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</si>
  <si>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</si>
  <si>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</si>
  <si>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</si>
  <si>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</si>
  <si>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</si>
  <si>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</si>
  <si>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</si>
  <si>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</si>
  <si>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</si>
  <si>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</si>
  <si>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</si>
  <si>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</si>
  <si>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</si>
  <si>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</si>
  <si>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</si>
  <si>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</si>
  <si>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</si>
  <si>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</si>
  <si>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</si>
  <si>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</si>
  <si>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</si>
  <si>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</si>
  <si>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</si>
  <si>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</si>
  <si>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</si>
  <si>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</si>
  <si>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</si>
  <si>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</si>
  <si>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</si>
  <si>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</si>
  <si>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</si>
  <si>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</si>
  <si>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</si>
  <si>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</si>
  <si>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</si>
  <si>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</si>
  <si>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</si>
  <si>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</si>
  <si>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</si>
  <si>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</si>
  <si>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</si>
  <si>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</si>
  <si>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</si>
  <si>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</si>
  <si>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</si>
  <si>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</si>
  <si>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</si>
  <si>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</si>
  <si>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</si>
  <si>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</si>
  <si>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</si>
  <si>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</si>
  <si>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</si>
  <si>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</si>
  <si>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</si>
  <si>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</si>
  <si>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</si>
  <si>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</si>
  <si>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</si>
  <si>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</si>
  <si>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</si>
  <si>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</si>
  <si>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</si>
  <si>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</si>
  <si>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</si>
  <si>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</si>
  <si>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</si>
  <si>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</si>
  <si>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</si>
  <si>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</si>
  <si>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</si>
  <si>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</si>
  <si>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</si>
  <si>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</si>
  <si>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</si>
  <si>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</si>
  <si>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</si>
  <si>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</si>
  <si>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</si>
  <si>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</si>
  <si>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</si>
  <si>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</si>
  <si>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</si>
  <si>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</si>
  <si>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</si>
  <si>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</si>
  <si>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</si>
  <si>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</si>
  <si>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</si>
  <si>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</si>
  <si>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</si>
  <si>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</si>
  <si>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</si>
  <si>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</si>
  <si>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</si>
  <si>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</si>
  <si>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</si>
  <si>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</si>
  <si>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</si>
  <si>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</si>
  <si>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</si>
  <si>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</si>
  <si>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</si>
  <si>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</si>
  <si>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</si>
  <si>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</si>
  <si>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</si>
  <si>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</si>
  <si>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</si>
  <si>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</si>
  <si>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</si>
  <si>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</si>
  <si>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</si>
  <si>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</si>
  <si>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</si>
  <si>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</si>
  <si>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</si>
  <si>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</si>
  <si>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</si>
  <si>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</si>
  <si>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</si>
  <si>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</si>
  <si>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</si>
  <si>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</si>
  <si>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</si>
  <si>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</si>
  <si>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</si>
  <si>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</si>
  <si>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</si>
  <si>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</si>
  <si>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</si>
  <si>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</si>
  <si>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</si>
  <si>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</si>
  <si>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</si>
  <si>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</si>
  <si>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</si>
  <si>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</si>
  <si>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</si>
  <si>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</si>
  <si>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</si>
  <si>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</si>
  <si>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</si>
  <si>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</si>
  <si>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</si>
  <si>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</si>
  <si>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</si>
  <si>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</si>
  <si>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</si>
  <si>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</si>
  <si>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</si>
  <si>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</si>
  <si>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</si>
  <si>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</si>
  <si>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</si>
  <si>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</si>
  <si>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</si>
  <si>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</si>
  <si>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</si>
  <si>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</si>
  <si>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</si>
  <si>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</si>
  <si>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</si>
  <si>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</si>
  <si>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</si>
  <si>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</si>
  <si>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</si>
  <si>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</si>
  <si>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</si>
  <si>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</si>
  <si>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</si>
  <si>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</si>
  <si>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</si>
  <si>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</si>
  <si>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</si>
  <si>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</si>
  <si>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</si>
  <si>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</si>
  <si>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</si>
  <si>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</si>
  <si>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</si>
  <si>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</si>
  <si>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</si>
  <si>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</si>
  <si>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</si>
  <si>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</si>
  <si>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</si>
  <si>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</si>
  <si>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</si>
  <si>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</si>
  <si>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</si>
  <si>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</si>
  <si>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</si>
  <si>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</si>
  <si>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</si>
  <si>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</si>
  <si>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</si>
  <si>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</si>
  <si>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</si>
  <si>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</si>
  <si>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</si>
  <si>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</si>
  <si>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</si>
  <si>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</si>
  <si>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</si>
  <si>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</si>
  <si>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</si>
  <si>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</si>
  <si>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</si>
  <si>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</si>
  <si>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</si>
  <si>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</si>
  <si>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</si>
  <si>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</si>
  <si>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</si>
  <si>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</si>
  <si>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</si>
  <si>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</si>
  <si>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</si>
  <si>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</si>
  <si>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</si>
  <si>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</si>
  <si>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</si>
  <si>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</si>
  <si>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</si>
  <si>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</si>
  <si>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</si>
  <si>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</si>
  <si>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</si>
  <si>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</si>
  <si>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</si>
  <si>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</si>
  <si>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Pergunta de Negócio 5 - Qual a média de desconto em cada tipo de plano</t>
  </si>
  <si>
    <t>Média de Coupon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</si>
</sst>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  <xf numFmtId="164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[dashboard-vendas-dio.xlsx]C̳álculos!tbl_annual_total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vindo(a)!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01/01/2024 - 31/12/2025 | Update date: 22/01/2025</a:t>
          </a:r>
          <a:r>
            <a:rPr lang="pt-BR" sz="1050" b="0" kern="1200" baseline="0">
              <a:solidFill>
                <a:schemeClr val="bg1">
                  <a:lumMod val="50000"/>
                </a:schemeClr>
              </a:solidFill>
            </a:rPr>
            <a:t> 18</a:t>
          </a:r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:00:00</a:t>
          </a:r>
        </a:p>
      </xdr:txBody>
    </xdr:sp>
    <xdr:clientData/>
  </xdr:twoCellAnchor>
  <xdr:twoCellAnchor>
    <xdr:from>
      <xdr:col>2</xdr:col>
      <xdr:colOff>19050</xdr:colOff>
      <xdr:row>36</xdr:row>
      <xdr:rowOff>28575</xdr:rowOff>
    </xdr:from>
    <xdr:to>
      <xdr:col>19</xdr:col>
      <xdr:colOff>123825</xdr:colOff>
      <xdr:row>44</xdr:row>
      <xdr:rowOff>83344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008D5BA6-8112-CD1A-0F8F-8DA98CF73B5E}"/>
            </a:ext>
          </a:extLst>
        </xdr:cNvPr>
        <xdr:cNvGrpSpPr/>
      </xdr:nvGrpSpPr>
      <xdr:grpSpPr>
        <a:xfrm>
          <a:off x="2085975" y="6743700"/>
          <a:ext cx="10296525" cy="1578769"/>
          <a:chOff x="2095500" y="1143000"/>
          <a:chExt cx="4655344" cy="1571625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C8C600D7-4E8C-A749-B8B3-FB377DC384C5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36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EEAB8D19-BAB8-E053-77EE-2BE466DA838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3600" kern="1200">
              <a:solidFill>
                <a:srgbClr val="22C55E"/>
              </a:solidFill>
            </a:endParaRPr>
          </a:p>
        </xdr:txBody>
      </xdr:sp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225CD4DB-111F-01FA-1C6A-870CD080A810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MEAN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CUPOM VALUE PER PLAN TYPE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2</xdr:col>
      <xdr:colOff>523876</xdr:colOff>
      <xdr:row>38</xdr:row>
      <xdr:rowOff>133351</xdr:rowOff>
    </xdr:from>
    <xdr:to>
      <xdr:col>6</xdr:col>
      <xdr:colOff>295276</xdr:colOff>
      <xdr:row>42</xdr:row>
      <xdr:rowOff>19051</xdr:rowOff>
    </xdr:to>
    <xdr:sp macro="" textlink="C̳álculos!E45">
      <xdr:nvSpPr>
        <xdr:cNvPr id="23" name="Retângulo: Cantos Arredondados 22">
          <a:extLst>
            <a:ext uri="{FF2B5EF4-FFF2-40B4-BE49-F238E27FC236}">
              <a16:creationId xmlns:a16="http://schemas.microsoft.com/office/drawing/2014/main" id="{5969F210-D1D3-415B-AA93-25C17D2906C7}"/>
            </a:ext>
          </a:extLst>
        </xdr:cNvPr>
        <xdr:cNvSpPr/>
      </xdr:nvSpPr>
      <xdr:spPr>
        <a:xfrm>
          <a:off x="2590801" y="7229476"/>
          <a:ext cx="2209800" cy="647700"/>
        </a:xfrm>
        <a:prstGeom prst="roundRect">
          <a:avLst>
            <a:gd name="adj" fmla="val 40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3CF2407-E045-4189-B22B-B71844D67F94}" type="TxLink">
            <a:rPr lang="en-US" sz="3600" b="0" i="0" u="none" strike="noStrike" kern="1200">
              <a:solidFill>
                <a:srgbClr val="22C55E"/>
              </a:solidFill>
              <a:latin typeface="Aptos Narrow"/>
            </a:rPr>
            <a:t> R$ -   </a:t>
          </a:fld>
          <a:endParaRPr lang="pt-BR" sz="3600" kern="1200">
            <a:solidFill>
              <a:srgbClr val="22C55E"/>
            </a:solidFill>
          </a:endParaRPr>
        </a:p>
      </xdr:txBody>
    </xdr:sp>
    <xdr:clientData/>
  </xdr:twoCellAnchor>
  <xdr:twoCellAnchor>
    <xdr:from>
      <xdr:col>6</xdr:col>
      <xdr:colOff>396876</xdr:colOff>
      <xdr:row>38</xdr:row>
      <xdr:rowOff>133351</xdr:rowOff>
    </xdr:from>
    <xdr:to>
      <xdr:col>10</xdr:col>
      <xdr:colOff>168276</xdr:colOff>
      <xdr:row>42</xdr:row>
      <xdr:rowOff>19051</xdr:rowOff>
    </xdr:to>
    <xdr:sp macro="" textlink="C̳álculos!E46">
      <xdr:nvSpPr>
        <xdr:cNvPr id="34" name="Retângulo: Cantos Arredondados 33">
          <a:extLst>
            <a:ext uri="{FF2B5EF4-FFF2-40B4-BE49-F238E27FC236}">
              <a16:creationId xmlns:a16="http://schemas.microsoft.com/office/drawing/2014/main" id="{913E66D8-29F0-4438-95A5-34C288F0AFFB}"/>
            </a:ext>
          </a:extLst>
        </xdr:cNvPr>
        <xdr:cNvSpPr/>
      </xdr:nvSpPr>
      <xdr:spPr>
        <a:xfrm>
          <a:off x="4902201" y="7229476"/>
          <a:ext cx="2209800" cy="647700"/>
        </a:xfrm>
        <a:prstGeom prst="roundRect">
          <a:avLst>
            <a:gd name="adj" fmla="val 40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7759BED-6144-4133-96EA-683E57811F66}" type="TxLink">
            <a:rPr lang="en-US" sz="3600" b="0" i="0" u="none" strike="noStrike" kern="1200">
              <a:solidFill>
                <a:srgbClr val="22C55E"/>
              </a:solidFill>
              <a:latin typeface="Aptos Narrow"/>
            </a:rPr>
            <a:t> R$ 13,41 </a:t>
          </a:fld>
          <a:endParaRPr lang="pt-BR" sz="3600" kern="1200">
            <a:solidFill>
              <a:srgbClr val="22C55E"/>
            </a:solidFill>
          </a:endParaRPr>
        </a:p>
      </xdr:txBody>
    </xdr:sp>
    <xdr:clientData/>
  </xdr:twoCellAnchor>
  <xdr:twoCellAnchor>
    <xdr:from>
      <xdr:col>10</xdr:col>
      <xdr:colOff>269876</xdr:colOff>
      <xdr:row>38</xdr:row>
      <xdr:rowOff>133351</xdr:rowOff>
    </xdr:from>
    <xdr:to>
      <xdr:col>14</xdr:col>
      <xdr:colOff>212726</xdr:colOff>
      <xdr:row>42</xdr:row>
      <xdr:rowOff>19051</xdr:rowOff>
    </xdr:to>
    <xdr:sp macro="" textlink="C̳álculos!E47">
      <xdr:nvSpPr>
        <xdr:cNvPr id="35" name="Retângulo: Cantos Arredondados 34">
          <a:extLst>
            <a:ext uri="{FF2B5EF4-FFF2-40B4-BE49-F238E27FC236}">
              <a16:creationId xmlns:a16="http://schemas.microsoft.com/office/drawing/2014/main" id="{B6FEA6F2-86B9-42BC-9879-4244213DE18B}"/>
            </a:ext>
          </a:extLst>
        </xdr:cNvPr>
        <xdr:cNvSpPr/>
      </xdr:nvSpPr>
      <xdr:spPr>
        <a:xfrm>
          <a:off x="7213601" y="7229476"/>
          <a:ext cx="2209800" cy="647700"/>
        </a:xfrm>
        <a:prstGeom prst="roundRect">
          <a:avLst>
            <a:gd name="adj" fmla="val 40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EADF859-7C73-4D40-BB10-FFB30CC25EF9}" type="TxLink">
            <a:rPr lang="en-US" sz="3600" b="0" i="0" u="none" strike="noStrike" kern="1200">
              <a:solidFill>
                <a:srgbClr val="22C55E"/>
              </a:solidFill>
              <a:latin typeface="Aptos Narrow"/>
            </a:rPr>
            <a:t> R$ 5,70 </a:t>
          </a:fld>
          <a:endParaRPr lang="pt-BR" sz="3600" kern="1200">
            <a:solidFill>
              <a:srgbClr val="22C55E"/>
            </a:solidFill>
          </a:endParaRPr>
        </a:p>
      </xdr:txBody>
    </xdr:sp>
    <xdr:clientData/>
  </xdr:twoCellAnchor>
  <xdr:twoCellAnchor>
    <xdr:from>
      <xdr:col>14</xdr:col>
      <xdr:colOff>314326</xdr:colOff>
      <xdr:row>38</xdr:row>
      <xdr:rowOff>133351</xdr:rowOff>
    </xdr:from>
    <xdr:to>
      <xdr:col>18</xdr:col>
      <xdr:colOff>85726</xdr:colOff>
      <xdr:row>42</xdr:row>
      <xdr:rowOff>19051</xdr:rowOff>
    </xdr:to>
    <xdr:sp macro="" textlink="C̳álculos!E48">
      <xdr:nvSpPr>
        <xdr:cNvPr id="36" name="Retângulo: Cantos Arredondados 35">
          <a:extLst>
            <a:ext uri="{FF2B5EF4-FFF2-40B4-BE49-F238E27FC236}">
              <a16:creationId xmlns:a16="http://schemas.microsoft.com/office/drawing/2014/main" id="{3061B013-E1D6-44FB-A29B-93DEA3CFEECC}"/>
            </a:ext>
          </a:extLst>
        </xdr:cNvPr>
        <xdr:cNvSpPr/>
      </xdr:nvSpPr>
      <xdr:spPr>
        <a:xfrm>
          <a:off x="9525001" y="7229476"/>
          <a:ext cx="2209800" cy="647700"/>
        </a:xfrm>
        <a:prstGeom prst="roundRect">
          <a:avLst>
            <a:gd name="adj" fmla="val 40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6921755-50B1-4940-92E8-847D29F0FEAE}" type="TxLink">
            <a:rPr lang="en-US" sz="3600" b="0" i="0" u="none" strike="noStrike" kern="1200">
              <a:solidFill>
                <a:srgbClr val="22C55E"/>
              </a:solidFill>
              <a:latin typeface="Aptos Narrow"/>
            </a:rPr>
            <a:t> R$ 6,70 </a:t>
          </a:fld>
          <a:endParaRPr lang="pt-BR" sz="3600" kern="1200">
            <a:solidFill>
              <a:srgbClr val="22C55E"/>
            </a:solidFill>
          </a:endParaRPr>
        </a:p>
      </xdr:txBody>
    </xdr:sp>
    <xdr:clientData/>
  </xdr:twoCellAnchor>
  <xdr:twoCellAnchor>
    <xdr:from>
      <xdr:col>3</xdr:col>
      <xdr:colOff>28575</xdr:colOff>
      <xdr:row>41</xdr:row>
      <xdr:rowOff>152400</xdr:rowOff>
    </xdr:from>
    <xdr:to>
      <xdr:col>6</xdr:col>
      <xdr:colOff>323850</xdr:colOff>
      <xdr:row>43</xdr:row>
      <xdr:rowOff>38100</xdr:rowOff>
    </xdr:to>
    <xdr:sp macro="" textlink="">
      <xdr:nvSpPr>
        <xdr:cNvPr id="37" name="Retângulo: Cantos Arredondados 36">
          <a:extLst>
            <a:ext uri="{FF2B5EF4-FFF2-40B4-BE49-F238E27FC236}">
              <a16:creationId xmlns:a16="http://schemas.microsoft.com/office/drawing/2014/main" id="{9EAFAE0C-8809-9BD4-2B63-882D277AD4AB}"/>
            </a:ext>
          </a:extLst>
        </xdr:cNvPr>
        <xdr:cNvSpPr/>
      </xdr:nvSpPr>
      <xdr:spPr>
        <a:xfrm>
          <a:off x="2705100" y="7820025"/>
          <a:ext cx="2124075" cy="266700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bg1"/>
              </a:solidFill>
              <a:latin typeface="Abadi ExtraLight" panose="020F0502020204030204" pitchFamily="34" charset="0"/>
              <a:cs typeface="Segoe UI" panose="020B0502040204020203" pitchFamily="34" charset="0"/>
            </a:rPr>
            <a:t>Core</a:t>
          </a:r>
        </a:p>
      </xdr:txBody>
    </xdr:sp>
    <xdr:clientData/>
  </xdr:twoCellAnchor>
  <xdr:twoCellAnchor>
    <xdr:from>
      <xdr:col>6</xdr:col>
      <xdr:colOff>492125</xdr:colOff>
      <xdr:row>41</xdr:row>
      <xdr:rowOff>152400</xdr:rowOff>
    </xdr:from>
    <xdr:to>
      <xdr:col>10</xdr:col>
      <xdr:colOff>177800</xdr:colOff>
      <xdr:row>43</xdr:row>
      <xdr:rowOff>38100</xdr:rowOff>
    </xdr:to>
    <xdr:sp macro="" textlink="">
      <xdr:nvSpPr>
        <xdr:cNvPr id="38" name="Retângulo: Cantos Arredondados 37">
          <a:extLst>
            <a:ext uri="{FF2B5EF4-FFF2-40B4-BE49-F238E27FC236}">
              <a16:creationId xmlns:a16="http://schemas.microsoft.com/office/drawing/2014/main" id="{77EAC276-C0C4-430C-A49B-F69742D01CE6}"/>
            </a:ext>
          </a:extLst>
        </xdr:cNvPr>
        <xdr:cNvSpPr/>
      </xdr:nvSpPr>
      <xdr:spPr>
        <a:xfrm>
          <a:off x="4997450" y="7820025"/>
          <a:ext cx="2124075" cy="266700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bg1"/>
              </a:solidFill>
              <a:latin typeface="Abadi ExtraLight" panose="020F0502020204030204" pitchFamily="34" charset="0"/>
              <a:cs typeface="Segoe UI" panose="020B0502040204020203" pitchFamily="34" charset="0"/>
            </a:rPr>
            <a:t>Standard</a:t>
          </a:r>
        </a:p>
      </xdr:txBody>
    </xdr:sp>
    <xdr:clientData/>
  </xdr:twoCellAnchor>
  <xdr:twoCellAnchor>
    <xdr:from>
      <xdr:col>10</xdr:col>
      <xdr:colOff>346075</xdr:colOff>
      <xdr:row>41</xdr:row>
      <xdr:rowOff>152400</xdr:rowOff>
    </xdr:from>
    <xdr:to>
      <xdr:col>14</xdr:col>
      <xdr:colOff>203200</xdr:colOff>
      <xdr:row>43</xdr:row>
      <xdr:rowOff>38100</xdr:rowOff>
    </xdr:to>
    <xdr:sp macro="" textlink="">
      <xdr:nvSpPr>
        <xdr:cNvPr id="39" name="Retângulo: Cantos Arredondados 38">
          <a:extLst>
            <a:ext uri="{FF2B5EF4-FFF2-40B4-BE49-F238E27FC236}">
              <a16:creationId xmlns:a16="http://schemas.microsoft.com/office/drawing/2014/main" id="{AD145D52-7032-41B2-ADEC-FA65E5926337}"/>
            </a:ext>
          </a:extLst>
        </xdr:cNvPr>
        <xdr:cNvSpPr/>
      </xdr:nvSpPr>
      <xdr:spPr>
        <a:xfrm>
          <a:off x="7289800" y="7820025"/>
          <a:ext cx="2124075" cy="266700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bg1"/>
              </a:solidFill>
              <a:latin typeface="Abadi ExtraLight" panose="020F0502020204030204" pitchFamily="34" charset="0"/>
              <a:cs typeface="Segoe UI" panose="020B0502040204020203" pitchFamily="34" charset="0"/>
            </a:rPr>
            <a:t>Ultimate</a:t>
          </a:r>
        </a:p>
      </xdr:txBody>
    </xdr:sp>
    <xdr:clientData/>
  </xdr:twoCellAnchor>
  <xdr:twoCellAnchor>
    <xdr:from>
      <xdr:col>14</xdr:col>
      <xdr:colOff>371475</xdr:colOff>
      <xdr:row>41</xdr:row>
      <xdr:rowOff>152400</xdr:rowOff>
    </xdr:from>
    <xdr:to>
      <xdr:col>18</xdr:col>
      <xdr:colOff>57150</xdr:colOff>
      <xdr:row>43</xdr:row>
      <xdr:rowOff>38100</xdr:rowOff>
    </xdr:to>
    <xdr:sp macro="" textlink="">
      <xdr:nvSpPr>
        <xdr:cNvPr id="40" name="Retângulo: Cantos Arredondados 39">
          <a:extLst>
            <a:ext uri="{FF2B5EF4-FFF2-40B4-BE49-F238E27FC236}">
              <a16:creationId xmlns:a16="http://schemas.microsoft.com/office/drawing/2014/main" id="{7637B91C-0360-42D7-9132-0004F2D2FA78}"/>
            </a:ext>
          </a:extLst>
        </xdr:cNvPr>
        <xdr:cNvSpPr/>
      </xdr:nvSpPr>
      <xdr:spPr>
        <a:xfrm>
          <a:off x="9582150" y="7820025"/>
          <a:ext cx="2124075" cy="266700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bg1"/>
              </a:solidFill>
              <a:latin typeface="Abadi ExtraLight" panose="020F0502020204030204" pitchFamily="34" charset="0"/>
              <a:cs typeface="Segoe UI" panose="020B0502040204020203" pitchFamily="34" charset="0"/>
            </a:rPr>
            <a:t>Overall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56B166-D41B-4942-932B-573541EBCB4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44:C4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dataField="1"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Média de Coupon Value" fld="11" subtotal="average" baseField="2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  <pivotTable tabId="3" name="Tabela dinâmica1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45" sqref="E4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48"/>
  <sheetViews>
    <sheetView showGridLines="0" topLeftCell="A16" workbookViewId="0">
      <selection activeCell="E45" sqref="E45"/>
    </sheetView>
  </sheetViews>
  <sheetFormatPr defaultRowHeight="15" x14ac:dyDescent="0.25"/>
  <cols>
    <col min="2" max="2" width="18.42578125" bestFit="1" customWidth="1"/>
    <col min="3" max="3" width="22.57031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317</v>
      </c>
      <c r="C3" s="19"/>
      <c r="D3" s="19"/>
      <c r="E3" s="19"/>
      <c r="F3" s="19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24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217</v>
      </c>
    </row>
    <row r="13" spans="2:6" x14ac:dyDescent="0.25">
      <c r="B13" s="14" t="s">
        <v>19</v>
      </c>
      <c r="C13" s="13">
        <v>1537</v>
      </c>
    </row>
    <row r="14" spans="2:6" x14ac:dyDescent="0.25">
      <c r="B14" s="14" t="s">
        <v>310</v>
      </c>
      <c r="C14" s="13">
        <v>1754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24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20">
        <v>0</v>
      </c>
    </row>
    <row r="23" spans="2:5" x14ac:dyDescent="0.25">
      <c r="B23" s="14" t="s">
        <v>26</v>
      </c>
      <c r="C23" s="20">
        <v>0</v>
      </c>
    </row>
    <row r="24" spans="2:5" x14ac:dyDescent="0.25">
      <c r="B24" s="14" t="s">
        <v>18</v>
      </c>
      <c r="C24" s="20">
        <v>600</v>
      </c>
    </row>
    <row r="25" spans="2:5" x14ac:dyDescent="0.25">
      <c r="B25" s="14" t="s">
        <v>310</v>
      </c>
      <c r="C25" s="20">
        <v>600</v>
      </c>
      <c r="E25" s="16">
        <f>GETPIVOTDATA("EA Play Season Pass
Price",$B$21)</f>
        <v>600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24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540</v>
      </c>
    </row>
    <row r="35" spans="2:5" x14ac:dyDescent="0.25">
      <c r="B35" s="14" t="s">
        <v>18</v>
      </c>
      <c r="C35" s="13">
        <v>400</v>
      </c>
    </row>
    <row r="36" spans="2:5" x14ac:dyDescent="0.25">
      <c r="B36" s="14" t="s">
        <v>310</v>
      </c>
      <c r="C36" s="13">
        <v>940</v>
      </c>
      <c r="E36" s="16">
        <f>GETPIVOTDATA("Minecraft Season Pass Price",$B$32)</f>
        <v>940</v>
      </c>
    </row>
    <row r="40" spans="2:5" x14ac:dyDescent="0.25">
      <c r="B40" t="s">
        <v>324</v>
      </c>
    </row>
    <row r="42" spans="2:5" x14ac:dyDescent="0.25">
      <c r="B42" s="12" t="s">
        <v>16</v>
      </c>
      <c r="C42" t="s">
        <v>24</v>
      </c>
    </row>
    <row r="44" spans="2:5" x14ac:dyDescent="0.25">
      <c r="B44" s="12" t="s">
        <v>309</v>
      </c>
      <c r="C44" t="s">
        <v>325</v>
      </c>
    </row>
    <row r="45" spans="2:5" x14ac:dyDescent="0.25">
      <c r="B45" s="14" t="s">
        <v>22</v>
      </c>
      <c r="C45" s="13">
        <v>0</v>
      </c>
      <c r="E45" s="16">
        <f>GETPIVOTDATA("Coupon Value",$B$44,"Plan","Core")</f>
        <v>0</v>
      </c>
    </row>
    <row r="46" spans="2:5" x14ac:dyDescent="0.25">
      <c r="B46" s="14" t="s">
        <v>26</v>
      </c>
      <c r="C46" s="13">
        <v>13.407407407407407</v>
      </c>
      <c r="E46" s="16">
        <f>GETPIVOTDATA("Coupon Value",$B$44,"Plan","Standard")</f>
        <v>13.407407407407407</v>
      </c>
    </row>
    <row r="47" spans="2:5" x14ac:dyDescent="0.25">
      <c r="B47" s="14" t="s">
        <v>18</v>
      </c>
      <c r="C47" s="13">
        <v>5.7</v>
      </c>
      <c r="E47" s="16">
        <f>GETPIVOTDATA("Coupon Value",$B$44,"Plan","Ultimate")</f>
        <v>5.7</v>
      </c>
    </row>
    <row r="48" spans="2:5" x14ac:dyDescent="0.25">
      <c r="B48" s="14" t="s">
        <v>310</v>
      </c>
      <c r="C48" s="13">
        <v>6.704225352112676</v>
      </c>
      <c r="E48" s="21">
        <f>GETPIVOTDATA("Coupon Value",$B$44)</f>
        <v>6.704225352112676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AA14" sqref="AA14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Inacio</dc:creator>
  <cp:lastModifiedBy>INACIO PUNTEL DOS PASSOS</cp:lastModifiedBy>
  <dcterms:created xsi:type="dcterms:W3CDTF">2024-12-19T13:13:10Z</dcterms:created>
  <dcterms:modified xsi:type="dcterms:W3CDTF">2026-01-22T20:35:34Z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